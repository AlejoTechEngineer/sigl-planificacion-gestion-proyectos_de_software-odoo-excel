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1 3-3\Documents\Estudio\Carrera Ingenieria Informatica\Septimo Semestre\Integración de Sistemas\Laboratorio No. 2\"/>
    </mc:Choice>
  </mc:AlternateContent>
  <xr:revisionPtr revIDLastSave="0" documentId="13_ncr:1_{B764D389-6783-4915-B369-BE62C86B6E24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Planificación" sheetId="1" r:id="rId1"/>
    <sheet name="Gantt" sheetId="2" r:id="rId2"/>
    <sheet name="Recursos Human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3" l="1"/>
  <c r="G23" i="1"/>
  <c r="F23" i="1"/>
</calcChain>
</file>

<file path=xl/sharedStrings.xml><?xml version="1.0" encoding="utf-8"?>
<sst xmlns="http://schemas.openxmlformats.org/spreadsheetml/2006/main" count="362" uniqueCount="170">
  <si>
    <t>SISTEMA DE INFORMACIÓN PARA GESTIÓN LOGÍSTICA — TABLA DE PLANIFICACIÓN</t>
  </si>
  <si>
    <t>Proyecto: SIGL | Empresa: AxentDev | Herramienta: Odoo Projects (axentdev.odoo.com)</t>
  </si>
  <si>
    <t>Período: 01/06/2026 → 22/02/2028 | Total actividades: 18 | Total horas: 4,200h | Costo total: $638,337,986 COP</t>
  </si>
  <si>
    <t>#</t>
  </si>
  <si>
    <t>Actividad</t>
  </si>
  <si>
    <t>Fase</t>
  </si>
  <si>
    <t>Fecha Inicio</t>
  </si>
  <si>
    <t>Fecha Fin</t>
  </si>
  <si>
    <t>Días Lab.</t>
  </si>
  <si>
    <t>Horas</t>
  </si>
  <si>
    <t>Responsable</t>
  </si>
  <si>
    <t>Depende de</t>
  </si>
  <si>
    <t>Holgura</t>
  </si>
  <si>
    <t>C.P.</t>
  </si>
  <si>
    <t>Estado Odoo</t>
  </si>
  <si>
    <t>Levantamiento de requerimientos</t>
  </si>
  <si>
    <t>Análisis</t>
  </si>
  <si>
    <t>01/06/2026</t>
  </si>
  <si>
    <t>03/09/2026</t>
  </si>
  <si>
    <t>Analista de Sistemas</t>
  </si>
  <si>
    <t>—</t>
  </si>
  <si>
    <t>0 días</t>
  </si>
  <si>
    <t>✓ CP</t>
  </si>
  <si>
    <t>En progreso</t>
  </si>
  <si>
    <t>Diseño de arquitectura del sistema</t>
  </si>
  <si>
    <t>Diseño</t>
  </si>
  <si>
    <t>04/09/2026</t>
  </si>
  <si>
    <t>04/12/2026</t>
  </si>
  <si>
    <t>Arquitecto de Software</t>
  </si>
  <si>
    <t>1</t>
  </si>
  <si>
    <t>En espera</t>
  </si>
  <si>
    <t>Diseño de base de datos</t>
  </si>
  <si>
    <t>02/10/2026</t>
  </si>
  <si>
    <t>DBA</t>
  </si>
  <si>
    <t>63 días</t>
  </si>
  <si>
    <t>Diseño de interfaz de usuario (UI/UX)</t>
  </si>
  <si>
    <t>07/12/2026</t>
  </si>
  <si>
    <t>04/02/2027</t>
  </si>
  <si>
    <t>Diseñador UI/UX</t>
  </si>
  <si>
    <t>2</t>
  </si>
  <si>
    <t>Desarrollo backend</t>
  </si>
  <si>
    <t>Desarrollo</t>
  </si>
  <si>
    <t>04/05/2027</t>
  </si>
  <si>
    <t>Backend Senior 1 y 2</t>
  </si>
  <si>
    <t>2, 3</t>
  </si>
  <si>
    <t>21 días</t>
  </si>
  <si>
    <t>Desarrollo frontend</t>
  </si>
  <si>
    <t>05/02/2027</t>
  </si>
  <si>
    <t>02/06/2027</t>
  </si>
  <si>
    <t>Frontend Developer</t>
  </si>
  <si>
    <t>4</t>
  </si>
  <si>
    <t>Desarrollo de APIs</t>
  </si>
  <si>
    <t>Backend Senior 1</t>
  </si>
  <si>
    <t>84 días</t>
  </si>
  <si>
    <t>Integración de módulos</t>
  </si>
  <si>
    <t>Integración</t>
  </si>
  <si>
    <t>03/06/2027</t>
  </si>
  <si>
    <t>30/07/2027</t>
  </si>
  <si>
    <t>5, 6, 7</t>
  </si>
  <si>
    <t>Pruebas unitarias</t>
  </si>
  <si>
    <t>01/07/2027</t>
  </si>
  <si>
    <t>QA Tester</t>
  </si>
  <si>
    <t>Pruebas de integración</t>
  </si>
  <si>
    <t>Pruebas</t>
  </si>
  <si>
    <t>02/08/2027</t>
  </si>
  <si>
    <t>30/08/2027</t>
  </si>
  <si>
    <t>8, 9</t>
  </si>
  <si>
    <t>Pruebas UAT</t>
  </si>
  <si>
    <t>31/08/2027</t>
  </si>
  <si>
    <t>28/09/2027</t>
  </si>
  <si>
    <t>10</t>
  </si>
  <si>
    <t>Corrección de errores y ajustes</t>
  </si>
  <si>
    <t>29/09/2027</t>
  </si>
  <si>
    <t>27/10/2027</t>
  </si>
  <si>
    <t>11</t>
  </si>
  <si>
    <t>Despliegue en producción</t>
  </si>
  <si>
    <t>Implantación</t>
  </si>
  <si>
    <t>28/10/2027</t>
  </si>
  <si>
    <t>25/11/2027</t>
  </si>
  <si>
    <t>DevOps Engineer</t>
  </si>
  <si>
    <t>12</t>
  </si>
  <si>
    <t>Capacitación a usuarios</t>
  </si>
  <si>
    <t>26/11/2027</t>
  </si>
  <si>
    <t>24/12/2027</t>
  </si>
  <si>
    <t>13</t>
  </si>
  <si>
    <t>Documentación técnica</t>
  </si>
  <si>
    <t>8</t>
  </si>
  <si>
    <t>Documentación de usuario final</t>
  </si>
  <si>
    <t>Cierre</t>
  </si>
  <si>
    <t>27/12/2027</t>
  </si>
  <si>
    <t>24/01/2028</t>
  </si>
  <si>
    <t>14, 15</t>
  </si>
  <si>
    <t>Mantenimiento inicial post-despliegue</t>
  </si>
  <si>
    <t>Evaluación final y cierre del proyecto</t>
  </si>
  <si>
    <t>25/01/2028</t>
  </si>
  <si>
    <t>22/02/2028</t>
  </si>
  <si>
    <t>Gerente de Proyecto</t>
  </si>
  <si>
    <t>16, 17</t>
  </si>
  <si>
    <t>TOTALES</t>
  </si>
  <si>
    <t>LEYENDA</t>
  </si>
  <si>
    <t>✓ CP = Actividad del Camino Crítico (holgura = 0 días). Cualquier retraso impacta la fecha fin del proyecto.</t>
  </si>
  <si>
    <t>Sin color = Actividad con holgura (no crítica). Puede retrasarse dentro de su margen sin afectar la entrega.</t>
  </si>
  <si>
    <t>Herramienta: Odoo Projects — axentdev.odoo.com | Proyecto creado: 01/06/2026 | Generado: Lab 2 UNIIR</t>
  </si>
  <si>
    <t>DIAGRAMA DE GANTT — SISTEMA DE INFORMACIÓN PARA GESTIÓN LOGÍSTICA (SIGL)</t>
  </si>
  <si>
    <t>Proyecto: axentdev.odoo.com | Inicio: 01/06/2026 | Fin: 22/02/2028 | 18 actividades | 7 fases | 4,200 horas</t>
  </si>
  <si>
    <t>2026</t>
  </si>
  <si>
    <t>2027</t>
  </si>
  <si>
    <t>2028</t>
  </si>
  <si>
    <t>Jun
26</t>
  </si>
  <si>
    <t>Jul
26</t>
  </si>
  <si>
    <t>Ago
26</t>
  </si>
  <si>
    <t>Sep
26</t>
  </si>
  <si>
    <t>Oct
26</t>
  </si>
  <si>
    <t>Nov
26</t>
  </si>
  <si>
    <t>Dic
26</t>
  </si>
  <si>
    <t>Ene
27</t>
  </si>
  <si>
    <t>Feb
27</t>
  </si>
  <si>
    <t>Mar
27</t>
  </si>
  <si>
    <t>Abr
27</t>
  </si>
  <si>
    <t>May
27</t>
  </si>
  <si>
    <t>Jun
27</t>
  </si>
  <si>
    <t>Jul
27</t>
  </si>
  <si>
    <t>Ago
27</t>
  </si>
  <si>
    <t>Sep
27</t>
  </si>
  <si>
    <t>Oct
27</t>
  </si>
  <si>
    <t>Nov
27</t>
  </si>
  <si>
    <t>Dic
27</t>
  </si>
  <si>
    <t>Ene
28</t>
  </si>
  <si>
    <t>Feb
28</t>
  </si>
  <si>
    <t>▶</t>
  </si>
  <si>
    <t>◀</t>
  </si>
  <si>
    <t>CAMINO CRÍTICO: Act. 1→2→4→6→8→10→11→12→13→14→16→17→18</t>
  </si>
  <si>
    <t>▶  Actividad del Camino Crítico (holgura = 0 días) — cualquier retraso impacta la entrega final</t>
  </si>
  <si>
    <t>▶  Actividad con holgura (no crítica) — puede retrasarse dentro de su margen sin afectar el proyecto</t>
  </si>
  <si>
    <t xml:space="preserve">   Fila resaltada en amarillo = actividad crítica en la tabla de planificación</t>
  </si>
  <si>
    <t>Fuente: Odoo Projects — axentdev.odoo.com — Sistema de Información para Gestión Logística | Lab. 2 Integración de Sistemas de Información — UNIIR 2026</t>
  </si>
  <si>
    <t>RECURSOS HUMANOS — SISTEMA DE INFORMACIÓN PARA GESTIÓN LOGÍSTICA</t>
  </si>
  <si>
    <t>Equipo del proyecto en Odoo Projects (axentdev.odoo.com) | 10 perfiles | 11 personas | 4,200 horas totales</t>
  </si>
  <si>
    <t>Perfil / Usuario Odoo</t>
  </si>
  <si>
    <t>Área</t>
  </si>
  <si>
    <t>Actividades</t>
  </si>
  <si>
    <t>Fecha inicio</t>
  </si>
  <si>
    <t>Fecha fin</t>
  </si>
  <si>
    <t>Costo Lab 1</t>
  </si>
  <si>
    <t>Dirección</t>
  </si>
  <si>
    <t>Act. 18</t>
  </si>
  <si>
    <t>$18,480,000</t>
  </si>
  <si>
    <t>Act. 1,14,15,16</t>
  </si>
  <si>
    <t>$60,480,000</t>
  </si>
  <si>
    <t>Act. 2</t>
  </si>
  <si>
    <t>$45,360,000</t>
  </si>
  <si>
    <t>Act. 3</t>
  </si>
  <si>
    <t>$15,120,000</t>
  </si>
  <si>
    <t>Act. 4</t>
  </si>
  <si>
    <t>$20,160,000</t>
  </si>
  <si>
    <t>Act. 5,7,8,12</t>
  </si>
  <si>
    <t>$100,800,000</t>
  </si>
  <si>
    <t>Backend Senior 2</t>
  </si>
  <si>
    <t>Act. 5, 8</t>
  </si>
  <si>
    <t>$70,560,000</t>
  </si>
  <si>
    <t>Act. 6</t>
  </si>
  <si>
    <t>$40,320,000</t>
  </si>
  <si>
    <t>Calidad</t>
  </si>
  <si>
    <t>Act. 9,10,11</t>
  </si>
  <si>
    <t>$25,200,000</t>
  </si>
  <si>
    <t>Infraestructura</t>
  </si>
  <si>
    <t>Act. 13,17</t>
  </si>
  <si>
    <t>$35,280,000</t>
  </si>
  <si>
    <t>TOTAL EQUIPO: 10 perfiles / 11 personas</t>
  </si>
  <si>
    <t>$431,760,000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</si>
</sst>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1F3864"/>
      <name val="Arial"/>
      <charset val="1"/>
    </font>
    <font>
      <sz val="10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9"/>
      <color rgb="FF404040"/>
      <name val="Arial"/>
      <charset val="1"/>
    </font>
    <font>
      <b/>
      <sz val="13"/>
      <color rgb="FFFFFFFF"/>
      <name val="Arial"/>
      <charset val="1"/>
    </font>
    <font>
      <sz val="9"/>
      <color rgb="FF1F3864"/>
      <name val="Arial"/>
      <charset val="1"/>
    </font>
    <font>
      <b/>
      <sz val="8"/>
      <color rgb="FFFF0000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b/>
      <sz val="7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88888"/>
      <name val="Arial"/>
      <charset val="1"/>
    </font>
    <font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BF5EB"/>
      </patternFill>
    </fill>
    <fill>
      <patternFill patternType="solid">
        <fgColor rgb="FFF2F2F2"/>
        <bgColor rgb="FFEBF5EB"/>
      </patternFill>
    </fill>
    <fill>
      <patternFill patternType="solid">
        <fgColor rgb="FFFFF3CD"/>
        <bgColor rgb="FFFDEBD0"/>
      </patternFill>
    </fill>
    <fill>
      <patternFill patternType="solid">
        <fgColor rgb="FFEBF5EB"/>
        <bgColor rgb="FFF2F2F2"/>
      </patternFill>
    </fill>
    <fill>
      <patternFill patternType="solid">
        <fgColor rgb="FFFEF9E7"/>
        <bgColor rgb="FFF8F8F8"/>
      </patternFill>
    </fill>
    <fill>
      <patternFill patternType="solid">
        <fgColor rgb="FFFDEBD0"/>
        <bgColor rgb="FFFFF3CD"/>
      </patternFill>
    </fill>
    <fill>
      <patternFill patternType="solid">
        <fgColor rgb="FFEBF5FB"/>
        <bgColor rgb="FFEBF5EB"/>
      </patternFill>
    </fill>
    <fill>
      <patternFill patternType="solid">
        <fgColor rgb="FFFFFFFF"/>
        <bgColor rgb="FFF8F8F8"/>
      </patternFill>
    </fill>
    <fill>
      <patternFill patternType="solid">
        <fgColor rgb="FF1F78B4"/>
        <bgColor rgb="FF008080"/>
      </patternFill>
    </fill>
    <fill>
      <patternFill patternType="solid">
        <fgColor rgb="FFF8F8F8"/>
        <bgColor rgb="FFF2F2F2"/>
      </patternFill>
    </fill>
    <fill>
      <patternFill patternType="solid">
        <fgColor rgb="FF74C476"/>
        <bgColor rgb="FF99CC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5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2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BF5FB"/>
      <rgbColor rgb="FF660066"/>
      <rgbColor rgb="FFFF8080"/>
      <rgbColor rgb="FF1F78B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F2F2F2"/>
      <rgbColor rgb="FFFDEBD0"/>
      <rgbColor rgb="FFF8F8F8"/>
      <rgbColor rgb="FFFF99CC"/>
      <rgbColor rgb="FFCC99FF"/>
      <rgbColor rgb="FFFEF9E7"/>
      <rgbColor rgb="FF3366FF"/>
      <rgbColor rgb="FF33CCCC"/>
      <rgbColor rgb="FF99CC00"/>
      <rgbColor rgb="FFFFCC00"/>
      <rgbColor rgb="FFFF9900"/>
      <rgbColor rgb="FFFF6600"/>
      <rgbColor rgb="FF666699"/>
      <rgbColor rgb="FF74C47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zoomScaleNormal="100" workbookViewId="0">
      <pane ySplit="4" topLeftCell="A5" activePane="bottomLeft" state="frozen"/>
      <selection pane="bottomLeft" activeCell="S36" sqref="S36"/>
    </sheetView>
  </sheetViews>
  <sheetFormatPr baseColWidth="10" defaultColWidth="8.7109375" defaultRowHeight="15" x14ac:dyDescent="0.25"/>
  <cols>
    <col min="1" max="1" width="5" customWidth="1"/>
    <col min="2" max="2" width="32" customWidth="1"/>
    <col min="3" max="3" width="14" customWidth="1"/>
    <col min="4" max="5" width="13" customWidth="1"/>
    <col min="6" max="7" width="8" customWidth="1"/>
    <col min="8" max="8" width="22" customWidth="1"/>
    <col min="9" max="9" width="12" customWidth="1"/>
    <col min="10" max="11" width="9" customWidth="1"/>
    <col min="12" max="12" width="18" customWidth="1"/>
  </cols>
  <sheetData>
    <row r="1" spans="1:12" ht="39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1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1.7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34.5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</row>
    <row r="5" spans="1:12" ht="21.75" customHeight="1" x14ac:dyDescent="0.25">
      <c r="A5" s="14">
        <v>1</v>
      </c>
      <c r="B5" s="15" t="s">
        <v>15</v>
      </c>
      <c r="C5" s="15" t="s">
        <v>16</v>
      </c>
      <c r="D5" s="15" t="s">
        <v>17</v>
      </c>
      <c r="E5" s="15" t="s">
        <v>18</v>
      </c>
      <c r="F5" s="14">
        <v>63</v>
      </c>
      <c r="G5" s="14">
        <v>504</v>
      </c>
      <c r="H5" s="15" t="s">
        <v>19</v>
      </c>
      <c r="I5" s="14" t="s">
        <v>20</v>
      </c>
      <c r="J5" s="14" t="s">
        <v>21</v>
      </c>
      <c r="K5" s="14" t="s">
        <v>22</v>
      </c>
      <c r="L5" s="14" t="s">
        <v>23</v>
      </c>
    </row>
    <row r="6" spans="1:12" ht="21.75" customHeight="1" x14ac:dyDescent="0.25">
      <c r="A6" s="14">
        <v>2</v>
      </c>
      <c r="B6" s="15" t="s">
        <v>24</v>
      </c>
      <c r="C6" s="15" t="s">
        <v>25</v>
      </c>
      <c r="D6" s="15" t="s">
        <v>26</v>
      </c>
      <c r="E6" s="15" t="s">
        <v>27</v>
      </c>
      <c r="F6" s="14">
        <v>63</v>
      </c>
      <c r="G6" s="14">
        <v>504</v>
      </c>
      <c r="H6" s="15" t="s">
        <v>28</v>
      </c>
      <c r="I6" s="14" t="s">
        <v>29</v>
      </c>
      <c r="J6" s="14" t="s">
        <v>21</v>
      </c>
      <c r="K6" s="14" t="s">
        <v>22</v>
      </c>
      <c r="L6" s="14" t="s">
        <v>30</v>
      </c>
    </row>
    <row r="7" spans="1:12" ht="21.75" customHeight="1" x14ac:dyDescent="0.25">
      <c r="A7" s="16">
        <v>3</v>
      </c>
      <c r="B7" s="17" t="s">
        <v>31</v>
      </c>
      <c r="C7" s="17" t="s">
        <v>25</v>
      </c>
      <c r="D7" s="17" t="s">
        <v>26</v>
      </c>
      <c r="E7" s="17" t="s">
        <v>32</v>
      </c>
      <c r="F7" s="16">
        <v>21</v>
      </c>
      <c r="G7" s="16">
        <v>168</v>
      </c>
      <c r="H7" s="17" t="s">
        <v>33</v>
      </c>
      <c r="I7" s="16" t="s">
        <v>29</v>
      </c>
      <c r="J7" s="16" t="s">
        <v>34</v>
      </c>
      <c r="K7" s="16" t="s">
        <v>20</v>
      </c>
      <c r="L7" s="16" t="s">
        <v>30</v>
      </c>
    </row>
    <row r="8" spans="1:12" ht="21.75" customHeight="1" x14ac:dyDescent="0.25">
      <c r="A8" s="14">
        <v>4</v>
      </c>
      <c r="B8" s="15" t="s">
        <v>35</v>
      </c>
      <c r="C8" s="15" t="s">
        <v>25</v>
      </c>
      <c r="D8" s="15" t="s">
        <v>36</v>
      </c>
      <c r="E8" s="15" t="s">
        <v>37</v>
      </c>
      <c r="F8" s="14">
        <v>42</v>
      </c>
      <c r="G8" s="14">
        <v>336</v>
      </c>
      <c r="H8" s="15" t="s">
        <v>38</v>
      </c>
      <c r="I8" s="14" t="s">
        <v>39</v>
      </c>
      <c r="J8" s="14" t="s">
        <v>21</v>
      </c>
      <c r="K8" s="14" t="s">
        <v>22</v>
      </c>
      <c r="L8" s="14" t="s">
        <v>30</v>
      </c>
    </row>
    <row r="9" spans="1:12" ht="21.75" customHeight="1" x14ac:dyDescent="0.25">
      <c r="A9" s="18">
        <v>5</v>
      </c>
      <c r="B9" s="19" t="s">
        <v>40</v>
      </c>
      <c r="C9" s="19" t="s">
        <v>41</v>
      </c>
      <c r="D9" s="19" t="s">
        <v>36</v>
      </c>
      <c r="E9" s="19" t="s">
        <v>42</v>
      </c>
      <c r="F9" s="18">
        <v>105</v>
      </c>
      <c r="G9" s="18">
        <v>840</v>
      </c>
      <c r="H9" s="19" t="s">
        <v>43</v>
      </c>
      <c r="I9" s="18" t="s">
        <v>44</v>
      </c>
      <c r="J9" s="18" t="s">
        <v>45</v>
      </c>
      <c r="K9" s="18" t="s">
        <v>20</v>
      </c>
      <c r="L9" s="18" t="s">
        <v>30</v>
      </c>
    </row>
    <row r="10" spans="1:12" ht="21.75" customHeight="1" x14ac:dyDescent="0.25">
      <c r="A10" s="14">
        <v>6</v>
      </c>
      <c r="B10" s="15" t="s">
        <v>46</v>
      </c>
      <c r="C10" s="15" t="s">
        <v>41</v>
      </c>
      <c r="D10" s="15" t="s">
        <v>47</v>
      </c>
      <c r="E10" s="15" t="s">
        <v>48</v>
      </c>
      <c r="F10" s="14">
        <v>84</v>
      </c>
      <c r="G10" s="14">
        <v>672</v>
      </c>
      <c r="H10" s="15" t="s">
        <v>49</v>
      </c>
      <c r="I10" s="14" t="s">
        <v>50</v>
      </c>
      <c r="J10" s="14" t="s">
        <v>21</v>
      </c>
      <c r="K10" s="14" t="s">
        <v>22</v>
      </c>
      <c r="L10" s="14" t="s">
        <v>30</v>
      </c>
    </row>
    <row r="11" spans="1:12" ht="21.75" customHeight="1" x14ac:dyDescent="0.25">
      <c r="A11" s="18">
        <v>7</v>
      </c>
      <c r="B11" s="19" t="s">
        <v>51</v>
      </c>
      <c r="C11" s="19" t="s">
        <v>41</v>
      </c>
      <c r="D11" s="19" t="s">
        <v>36</v>
      </c>
      <c r="E11" s="19" t="s">
        <v>37</v>
      </c>
      <c r="F11" s="18">
        <v>42</v>
      </c>
      <c r="G11" s="18">
        <v>336</v>
      </c>
      <c r="H11" s="19" t="s">
        <v>52</v>
      </c>
      <c r="I11" s="18" t="s">
        <v>44</v>
      </c>
      <c r="J11" s="18" t="s">
        <v>53</v>
      </c>
      <c r="K11" s="18" t="s">
        <v>20</v>
      </c>
      <c r="L11" s="18" t="s">
        <v>30</v>
      </c>
    </row>
    <row r="12" spans="1:12" ht="21.75" customHeight="1" x14ac:dyDescent="0.25">
      <c r="A12" s="14">
        <v>8</v>
      </c>
      <c r="B12" s="15" t="s">
        <v>54</v>
      </c>
      <c r="C12" s="15" t="s">
        <v>55</v>
      </c>
      <c r="D12" s="15" t="s">
        <v>56</v>
      </c>
      <c r="E12" s="15" t="s">
        <v>57</v>
      </c>
      <c r="F12" s="14">
        <v>42</v>
      </c>
      <c r="G12" s="14">
        <v>336</v>
      </c>
      <c r="H12" s="15" t="s">
        <v>43</v>
      </c>
      <c r="I12" s="14" t="s">
        <v>58</v>
      </c>
      <c r="J12" s="14" t="s">
        <v>21</v>
      </c>
      <c r="K12" s="14" t="s">
        <v>22</v>
      </c>
      <c r="L12" s="14" t="s">
        <v>30</v>
      </c>
    </row>
    <row r="13" spans="1:12" ht="21.75" customHeight="1" x14ac:dyDescent="0.25">
      <c r="A13" s="20">
        <v>9</v>
      </c>
      <c r="B13" s="21" t="s">
        <v>59</v>
      </c>
      <c r="C13" s="21" t="s">
        <v>55</v>
      </c>
      <c r="D13" s="21" t="s">
        <v>56</v>
      </c>
      <c r="E13" s="21" t="s">
        <v>60</v>
      </c>
      <c r="F13" s="20">
        <v>21</v>
      </c>
      <c r="G13" s="20">
        <v>168</v>
      </c>
      <c r="H13" s="21" t="s">
        <v>61</v>
      </c>
      <c r="I13" s="20" t="s">
        <v>58</v>
      </c>
      <c r="J13" s="20" t="s">
        <v>45</v>
      </c>
      <c r="K13" s="20" t="s">
        <v>20</v>
      </c>
      <c r="L13" s="20" t="s">
        <v>30</v>
      </c>
    </row>
    <row r="14" spans="1:12" ht="21.75" customHeight="1" x14ac:dyDescent="0.25">
      <c r="A14" s="14">
        <v>10</v>
      </c>
      <c r="B14" s="15" t="s">
        <v>62</v>
      </c>
      <c r="C14" s="15" t="s">
        <v>63</v>
      </c>
      <c r="D14" s="15" t="s">
        <v>64</v>
      </c>
      <c r="E14" s="15" t="s">
        <v>65</v>
      </c>
      <c r="F14" s="14">
        <v>21</v>
      </c>
      <c r="G14" s="14">
        <v>168</v>
      </c>
      <c r="H14" s="15" t="s">
        <v>61</v>
      </c>
      <c r="I14" s="14" t="s">
        <v>66</v>
      </c>
      <c r="J14" s="14" t="s">
        <v>21</v>
      </c>
      <c r="K14" s="14" t="s">
        <v>22</v>
      </c>
      <c r="L14" s="14" t="s">
        <v>30</v>
      </c>
    </row>
    <row r="15" spans="1:12" ht="21.75" customHeight="1" x14ac:dyDescent="0.25">
      <c r="A15" s="14">
        <v>11</v>
      </c>
      <c r="B15" s="15" t="s">
        <v>67</v>
      </c>
      <c r="C15" s="15" t="s">
        <v>63</v>
      </c>
      <c r="D15" s="15" t="s">
        <v>68</v>
      </c>
      <c r="E15" s="15" t="s">
        <v>69</v>
      </c>
      <c r="F15" s="14">
        <v>21</v>
      </c>
      <c r="G15" s="14">
        <v>168</v>
      </c>
      <c r="H15" s="15" t="s">
        <v>61</v>
      </c>
      <c r="I15" s="14" t="s">
        <v>70</v>
      </c>
      <c r="J15" s="14" t="s">
        <v>21</v>
      </c>
      <c r="K15" s="14" t="s">
        <v>22</v>
      </c>
      <c r="L15" s="14" t="s">
        <v>30</v>
      </c>
    </row>
    <row r="16" spans="1:12" ht="21.75" customHeight="1" x14ac:dyDescent="0.25">
      <c r="A16" s="14">
        <v>12</v>
      </c>
      <c r="B16" s="15" t="s">
        <v>71</v>
      </c>
      <c r="C16" s="15" t="s">
        <v>63</v>
      </c>
      <c r="D16" s="15" t="s">
        <v>72</v>
      </c>
      <c r="E16" s="15" t="s">
        <v>73</v>
      </c>
      <c r="F16" s="14">
        <v>21</v>
      </c>
      <c r="G16" s="14">
        <v>168</v>
      </c>
      <c r="H16" s="15" t="s">
        <v>52</v>
      </c>
      <c r="I16" s="14" t="s">
        <v>74</v>
      </c>
      <c r="J16" s="14" t="s">
        <v>21</v>
      </c>
      <c r="K16" s="14" t="s">
        <v>22</v>
      </c>
      <c r="L16" s="14" t="s">
        <v>30</v>
      </c>
    </row>
    <row r="17" spans="1:12" ht="21.75" customHeight="1" x14ac:dyDescent="0.25">
      <c r="A17" s="14">
        <v>13</v>
      </c>
      <c r="B17" s="15" t="s">
        <v>75</v>
      </c>
      <c r="C17" s="15" t="s">
        <v>76</v>
      </c>
      <c r="D17" s="15" t="s">
        <v>77</v>
      </c>
      <c r="E17" s="15" t="s">
        <v>78</v>
      </c>
      <c r="F17" s="14">
        <v>21</v>
      </c>
      <c r="G17" s="14">
        <v>168</v>
      </c>
      <c r="H17" s="15" t="s">
        <v>79</v>
      </c>
      <c r="I17" s="14" t="s">
        <v>80</v>
      </c>
      <c r="J17" s="14" t="s">
        <v>21</v>
      </c>
      <c r="K17" s="14" t="s">
        <v>22</v>
      </c>
      <c r="L17" s="14" t="s">
        <v>30</v>
      </c>
    </row>
    <row r="18" spans="1:12" ht="21.75" customHeight="1" x14ac:dyDescent="0.25">
      <c r="A18" s="14">
        <v>14</v>
      </c>
      <c r="B18" s="15" t="s">
        <v>81</v>
      </c>
      <c r="C18" s="15" t="s">
        <v>76</v>
      </c>
      <c r="D18" s="15" t="s">
        <v>82</v>
      </c>
      <c r="E18" s="15" t="s">
        <v>83</v>
      </c>
      <c r="F18" s="14">
        <v>21</v>
      </c>
      <c r="G18" s="14">
        <v>168</v>
      </c>
      <c r="H18" s="15" t="s">
        <v>19</v>
      </c>
      <c r="I18" s="14" t="s">
        <v>84</v>
      </c>
      <c r="J18" s="14" t="s">
        <v>21</v>
      </c>
      <c r="K18" s="14" t="s">
        <v>22</v>
      </c>
      <c r="L18" s="14" t="s">
        <v>30</v>
      </c>
    </row>
    <row r="19" spans="1:12" ht="21.75" customHeight="1" x14ac:dyDescent="0.25">
      <c r="A19" s="22">
        <v>15</v>
      </c>
      <c r="B19" s="23" t="s">
        <v>85</v>
      </c>
      <c r="C19" s="23" t="s">
        <v>76</v>
      </c>
      <c r="D19" s="23" t="s">
        <v>64</v>
      </c>
      <c r="E19" s="23" t="s">
        <v>65</v>
      </c>
      <c r="F19" s="22">
        <v>21</v>
      </c>
      <c r="G19" s="22">
        <v>168</v>
      </c>
      <c r="H19" s="23" t="s">
        <v>19</v>
      </c>
      <c r="I19" s="22" t="s">
        <v>86</v>
      </c>
      <c r="J19" s="22" t="s">
        <v>53</v>
      </c>
      <c r="K19" s="22" t="s">
        <v>20</v>
      </c>
      <c r="L19" s="22" t="s">
        <v>30</v>
      </c>
    </row>
    <row r="20" spans="1:12" ht="21.75" customHeight="1" x14ac:dyDescent="0.25">
      <c r="A20" s="14">
        <v>16</v>
      </c>
      <c r="B20" s="15" t="s">
        <v>87</v>
      </c>
      <c r="C20" s="15" t="s">
        <v>88</v>
      </c>
      <c r="D20" s="15" t="s">
        <v>89</v>
      </c>
      <c r="E20" s="15" t="s">
        <v>90</v>
      </c>
      <c r="F20" s="14">
        <v>21</v>
      </c>
      <c r="G20" s="14">
        <v>168</v>
      </c>
      <c r="H20" s="15" t="s">
        <v>19</v>
      </c>
      <c r="I20" s="14" t="s">
        <v>91</v>
      </c>
      <c r="J20" s="14" t="s">
        <v>21</v>
      </c>
      <c r="K20" s="14" t="s">
        <v>22</v>
      </c>
      <c r="L20" s="14" t="s">
        <v>30</v>
      </c>
    </row>
    <row r="21" spans="1:12" ht="21.75" customHeight="1" x14ac:dyDescent="0.25">
      <c r="A21" s="14">
        <v>17</v>
      </c>
      <c r="B21" s="15" t="s">
        <v>92</v>
      </c>
      <c r="C21" s="15" t="s">
        <v>88</v>
      </c>
      <c r="D21" s="15" t="s">
        <v>82</v>
      </c>
      <c r="E21" s="15" t="s">
        <v>90</v>
      </c>
      <c r="F21" s="14">
        <v>42</v>
      </c>
      <c r="G21" s="14">
        <v>336</v>
      </c>
      <c r="H21" s="15" t="s">
        <v>79</v>
      </c>
      <c r="I21" s="14" t="s">
        <v>84</v>
      </c>
      <c r="J21" s="14" t="s">
        <v>21</v>
      </c>
      <c r="K21" s="14" t="s">
        <v>22</v>
      </c>
      <c r="L21" s="14" t="s">
        <v>30</v>
      </c>
    </row>
    <row r="22" spans="1:12" ht="21.75" customHeight="1" x14ac:dyDescent="0.25">
      <c r="A22" s="14">
        <v>18</v>
      </c>
      <c r="B22" s="15" t="s">
        <v>93</v>
      </c>
      <c r="C22" s="15" t="s">
        <v>88</v>
      </c>
      <c r="D22" s="15" t="s">
        <v>94</v>
      </c>
      <c r="E22" s="15" t="s">
        <v>95</v>
      </c>
      <c r="F22" s="14">
        <v>21</v>
      </c>
      <c r="G22" s="14">
        <v>168</v>
      </c>
      <c r="H22" s="15" t="s">
        <v>96</v>
      </c>
      <c r="I22" s="14" t="s">
        <v>97</v>
      </c>
      <c r="J22" s="14" t="s">
        <v>21</v>
      </c>
      <c r="K22" s="14" t="s">
        <v>22</v>
      </c>
      <c r="L22" s="14" t="s">
        <v>30</v>
      </c>
    </row>
    <row r="23" spans="1:12" ht="24" customHeight="1" x14ac:dyDescent="0.25">
      <c r="A23" s="24" t="s">
        <v>98</v>
      </c>
      <c r="B23" s="24"/>
      <c r="C23" s="24"/>
      <c r="D23" s="24"/>
      <c r="E23" s="24"/>
      <c r="F23" s="24">
        <f>SUM(F5:F22)</f>
        <v>693</v>
      </c>
      <c r="G23" s="24">
        <f>SUM(G5:G22)</f>
        <v>5544</v>
      </c>
      <c r="H23" s="24"/>
      <c r="I23" s="24"/>
      <c r="J23" s="24"/>
      <c r="K23" s="24"/>
      <c r="L23" s="24"/>
    </row>
    <row r="25" spans="1:12" ht="15" customHeight="1" x14ac:dyDescent="0.25">
      <c r="A25" s="9" t="s">
        <v>99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9.5" customHeight="1" x14ac:dyDescent="0.25">
      <c r="A26" s="8" t="s">
        <v>100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9.5" customHeight="1" x14ac:dyDescent="0.25">
      <c r="A27" s="7" t="s">
        <v>101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9.5" customHeight="1" x14ac:dyDescent="0.25">
      <c r="A28" s="6" t="s">
        <v>102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</sheetData>
  <mergeCells count="7">
    <mergeCell ref="A27:L27"/>
    <mergeCell ref="A28:L28"/>
    <mergeCell ref="A1:L1"/>
    <mergeCell ref="A2:L2"/>
    <mergeCell ref="A3:L3"/>
    <mergeCell ref="A25:L25"/>
    <mergeCell ref="A26:L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E35" sqref="AE35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13" customWidth="1"/>
    <col min="4" max="4" width="20" customWidth="1"/>
    <col min="5" max="25" width="5" customWidth="1"/>
  </cols>
  <sheetData>
    <row r="1" spans="1:25" ht="39.75" customHeight="1" x14ac:dyDescent="0.25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1.75" customHeight="1" x14ac:dyDescent="0.25">
      <c r="A2" s="4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8" customHeight="1" x14ac:dyDescent="0.25">
      <c r="E3" s="3" t="s">
        <v>105</v>
      </c>
      <c r="F3" s="3"/>
      <c r="G3" s="3"/>
      <c r="H3" s="3"/>
      <c r="I3" s="3"/>
      <c r="J3" s="3"/>
      <c r="K3" s="3"/>
      <c r="L3" s="3" t="s">
        <v>106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107</v>
      </c>
      <c r="Y3" s="3"/>
    </row>
    <row r="4" spans="1:25" ht="27.75" customHeight="1" x14ac:dyDescent="0.25">
      <c r="A4" s="13" t="s">
        <v>3</v>
      </c>
      <c r="B4" s="13" t="s">
        <v>4</v>
      </c>
      <c r="C4" s="13" t="s">
        <v>5</v>
      </c>
      <c r="D4" s="13" t="s">
        <v>10</v>
      </c>
      <c r="E4" s="26" t="s">
        <v>108</v>
      </c>
      <c r="F4" s="27" t="s">
        <v>109</v>
      </c>
      <c r="G4" s="27" t="s">
        <v>110</v>
      </c>
      <c r="H4" s="27" t="s">
        <v>111</v>
      </c>
      <c r="I4" s="27" t="s">
        <v>112</v>
      </c>
      <c r="J4" s="27" t="s">
        <v>113</v>
      </c>
      <c r="K4" s="27" t="s">
        <v>114</v>
      </c>
      <c r="L4" s="27" t="s">
        <v>115</v>
      </c>
      <c r="M4" s="27" t="s">
        <v>116</v>
      </c>
      <c r="N4" s="27" t="s">
        <v>117</v>
      </c>
      <c r="O4" s="27" t="s">
        <v>118</v>
      </c>
      <c r="P4" s="27" t="s">
        <v>119</v>
      </c>
      <c r="Q4" s="27" t="s">
        <v>120</v>
      </c>
      <c r="R4" s="27" t="s">
        <v>121</v>
      </c>
      <c r="S4" s="27" t="s">
        <v>122</v>
      </c>
      <c r="T4" s="27" t="s">
        <v>123</v>
      </c>
      <c r="U4" s="27" t="s">
        <v>124</v>
      </c>
      <c r="V4" s="27" t="s">
        <v>125</v>
      </c>
      <c r="W4" s="27" t="s">
        <v>126</v>
      </c>
      <c r="X4" s="27" t="s">
        <v>127</v>
      </c>
      <c r="Y4" s="27" t="s">
        <v>128</v>
      </c>
    </row>
    <row r="5" spans="1:25" ht="19.5" customHeight="1" x14ac:dyDescent="0.25">
      <c r="A5" s="28">
        <v>1</v>
      </c>
      <c r="B5" s="29" t="s">
        <v>15</v>
      </c>
      <c r="C5" s="29" t="s">
        <v>16</v>
      </c>
      <c r="D5" s="29" t="s">
        <v>19</v>
      </c>
      <c r="E5" s="30" t="s">
        <v>129</v>
      </c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9.5" customHeight="1" x14ac:dyDescent="0.25">
      <c r="A6" s="28">
        <v>2</v>
      </c>
      <c r="B6" s="29" t="s">
        <v>24</v>
      </c>
      <c r="C6" s="29" t="s">
        <v>25</v>
      </c>
      <c r="D6" s="29" t="s">
        <v>28</v>
      </c>
      <c r="E6" s="32"/>
      <c r="F6" s="32"/>
      <c r="G6" s="32"/>
      <c r="H6" s="30" t="s">
        <v>129</v>
      </c>
      <c r="I6" s="31"/>
      <c r="J6" s="31"/>
      <c r="K6" s="31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9.5" customHeight="1" x14ac:dyDescent="0.25">
      <c r="A7" s="33">
        <v>3</v>
      </c>
      <c r="B7" s="34" t="s">
        <v>31</v>
      </c>
      <c r="C7" s="34" t="s">
        <v>25</v>
      </c>
      <c r="D7" s="34" t="s">
        <v>33</v>
      </c>
      <c r="E7" s="32"/>
      <c r="F7" s="32"/>
      <c r="G7" s="32"/>
      <c r="H7" s="35" t="s">
        <v>129</v>
      </c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9.5" customHeight="1" x14ac:dyDescent="0.25">
      <c r="A8" s="28">
        <v>4</v>
      </c>
      <c r="B8" s="29" t="s">
        <v>35</v>
      </c>
      <c r="C8" s="29" t="s">
        <v>25</v>
      </c>
      <c r="D8" s="29" t="s">
        <v>38</v>
      </c>
      <c r="E8" s="32"/>
      <c r="F8" s="32"/>
      <c r="G8" s="32"/>
      <c r="H8" s="32"/>
      <c r="I8" s="32"/>
      <c r="J8" s="32"/>
      <c r="K8" s="30" t="s">
        <v>129</v>
      </c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9.5" customHeight="1" x14ac:dyDescent="0.25">
      <c r="A9" s="37">
        <v>5</v>
      </c>
      <c r="B9" s="38" t="s">
        <v>40</v>
      </c>
      <c r="C9" s="38" t="s">
        <v>41</v>
      </c>
      <c r="D9" s="38" t="s">
        <v>43</v>
      </c>
      <c r="E9" s="32"/>
      <c r="F9" s="32"/>
      <c r="G9" s="32"/>
      <c r="H9" s="32"/>
      <c r="I9" s="32"/>
      <c r="J9" s="32"/>
      <c r="K9" s="35" t="s">
        <v>129</v>
      </c>
      <c r="L9" s="36"/>
      <c r="M9" s="36"/>
      <c r="N9" s="36"/>
      <c r="O9" s="36"/>
      <c r="P9" s="36"/>
      <c r="Q9" s="32"/>
      <c r="R9" s="32"/>
      <c r="S9" s="32"/>
      <c r="T9" s="32"/>
      <c r="U9" s="32"/>
      <c r="V9" s="32"/>
      <c r="W9" s="32"/>
      <c r="X9" s="32"/>
      <c r="Y9" s="32"/>
    </row>
    <row r="10" spans="1:25" ht="19.5" customHeight="1" x14ac:dyDescent="0.25">
      <c r="A10" s="28">
        <v>6</v>
      </c>
      <c r="B10" s="29" t="s">
        <v>46</v>
      </c>
      <c r="C10" s="29" t="s">
        <v>41</v>
      </c>
      <c r="D10" s="29" t="s">
        <v>49</v>
      </c>
      <c r="E10" s="32"/>
      <c r="F10" s="32"/>
      <c r="G10" s="32"/>
      <c r="H10" s="32"/>
      <c r="I10" s="32"/>
      <c r="J10" s="32"/>
      <c r="K10" s="32"/>
      <c r="L10" s="32"/>
      <c r="M10" s="30" t="s">
        <v>129</v>
      </c>
      <c r="N10" s="31"/>
      <c r="O10" s="31"/>
      <c r="P10" s="31"/>
      <c r="Q10" s="31"/>
      <c r="R10" s="32"/>
      <c r="S10" s="32"/>
      <c r="T10" s="32"/>
      <c r="U10" s="32"/>
      <c r="V10" s="32"/>
      <c r="W10" s="32"/>
      <c r="X10" s="32"/>
      <c r="Y10" s="32"/>
    </row>
    <row r="11" spans="1:25" ht="19.5" customHeight="1" x14ac:dyDescent="0.25">
      <c r="A11" s="37">
        <v>7</v>
      </c>
      <c r="B11" s="38" t="s">
        <v>51</v>
      </c>
      <c r="C11" s="38" t="s">
        <v>41</v>
      </c>
      <c r="D11" s="38" t="s">
        <v>52</v>
      </c>
      <c r="E11" s="32"/>
      <c r="F11" s="32"/>
      <c r="G11" s="32"/>
      <c r="H11" s="32"/>
      <c r="I11" s="32"/>
      <c r="J11" s="32"/>
      <c r="K11" s="35" t="s">
        <v>129</v>
      </c>
      <c r="L11" s="36"/>
      <c r="M11" s="36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9.5" customHeight="1" x14ac:dyDescent="0.25">
      <c r="A12" s="28">
        <v>8</v>
      </c>
      <c r="B12" s="29" t="s">
        <v>54</v>
      </c>
      <c r="C12" s="29" t="s">
        <v>55</v>
      </c>
      <c r="D12" s="29" t="s">
        <v>43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0" t="s">
        <v>129</v>
      </c>
      <c r="R12" s="31"/>
      <c r="S12" s="32"/>
      <c r="T12" s="32"/>
      <c r="U12" s="32"/>
      <c r="V12" s="32"/>
      <c r="W12" s="32"/>
      <c r="X12" s="32"/>
      <c r="Y12" s="32"/>
    </row>
    <row r="13" spans="1:25" ht="19.5" customHeight="1" x14ac:dyDescent="0.25">
      <c r="A13" s="39">
        <v>9</v>
      </c>
      <c r="B13" s="40" t="s">
        <v>59</v>
      </c>
      <c r="C13" s="40" t="s">
        <v>55</v>
      </c>
      <c r="D13" s="40" t="s">
        <v>61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5" t="s">
        <v>129</v>
      </c>
      <c r="R13" s="36"/>
      <c r="S13" s="32"/>
      <c r="T13" s="32"/>
      <c r="U13" s="32"/>
      <c r="V13" s="32"/>
      <c r="W13" s="32"/>
      <c r="X13" s="32"/>
      <c r="Y13" s="32"/>
    </row>
    <row r="14" spans="1:25" ht="19.5" customHeight="1" x14ac:dyDescent="0.25">
      <c r="A14" s="28">
        <v>10</v>
      </c>
      <c r="B14" s="29" t="s">
        <v>62</v>
      </c>
      <c r="C14" s="29" t="s">
        <v>63</v>
      </c>
      <c r="D14" s="29" t="s">
        <v>61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0" t="s">
        <v>130</v>
      </c>
      <c r="T14" s="32"/>
      <c r="U14" s="32"/>
      <c r="V14" s="32"/>
      <c r="W14" s="32"/>
      <c r="X14" s="32"/>
      <c r="Y14" s="32"/>
    </row>
    <row r="15" spans="1:25" ht="19.5" customHeight="1" x14ac:dyDescent="0.25">
      <c r="A15" s="28">
        <v>11</v>
      </c>
      <c r="B15" s="29" t="s">
        <v>67</v>
      </c>
      <c r="C15" s="29" t="s">
        <v>63</v>
      </c>
      <c r="D15" s="29" t="s">
        <v>61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0" t="s">
        <v>129</v>
      </c>
      <c r="T15" s="31"/>
      <c r="U15" s="32"/>
      <c r="V15" s="32"/>
      <c r="W15" s="32"/>
      <c r="X15" s="32"/>
      <c r="Y15" s="32"/>
    </row>
    <row r="16" spans="1:25" ht="19.5" customHeight="1" x14ac:dyDescent="0.25">
      <c r="A16" s="28">
        <v>12</v>
      </c>
      <c r="B16" s="29" t="s">
        <v>71</v>
      </c>
      <c r="C16" s="29" t="s">
        <v>63</v>
      </c>
      <c r="D16" s="29" t="s">
        <v>52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0" t="s">
        <v>129</v>
      </c>
      <c r="U16" s="31"/>
      <c r="V16" s="32"/>
      <c r="W16" s="32"/>
      <c r="X16" s="32"/>
      <c r="Y16" s="32"/>
    </row>
    <row r="17" spans="1:25" ht="19.5" customHeight="1" x14ac:dyDescent="0.25">
      <c r="A17" s="28">
        <v>13</v>
      </c>
      <c r="B17" s="29" t="s">
        <v>75</v>
      </c>
      <c r="C17" s="29" t="s">
        <v>76</v>
      </c>
      <c r="D17" s="29" t="s">
        <v>79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0" t="s">
        <v>129</v>
      </c>
      <c r="V17" s="31"/>
      <c r="W17" s="32"/>
      <c r="X17" s="32"/>
      <c r="Y17" s="32"/>
    </row>
    <row r="18" spans="1:25" ht="19.5" customHeight="1" x14ac:dyDescent="0.25">
      <c r="A18" s="28">
        <v>14</v>
      </c>
      <c r="B18" s="29" t="s">
        <v>81</v>
      </c>
      <c r="C18" s="29" t="s">
        <v>76</v>
      </c>
      <c r="D18" s="29" t="s">
        <v>19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0" t="s">
        <v>129</v>
      </c>
      <c r="W18" s="31"/>
      <c r="X18" s="32"/>
      <c r="Y18" s="32"/>
    </row>
    <row r="19" spans="1:25" ht="19.5" customHeight="1" x14ac:dyDescent="0.25">
      <c r="A19" s="41">
        <v>15</v>
      </c>
      <c r="B19" s="42" t="s">
        <v>85</v>
      </c>
      <c r="C19" s="42" t="s">
        <v>76</v>
      </c>
      <c r="D19" s="42" t="s">
        <v>19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5" t="s">
        <v>130</v>
      </c>
      <c r="T19" s="32"/>
      <c r="U19" s="32"/>
      <c r="V19" s="32"/>
      <c r="W19" s="32"/>
      <c r="X19" s="32"/>
      <c r="Y19" s="32"/>
    </row>
    <row r="20" spans="1:25" ht="19.5" customHeight="1" x14ac:dyDescent="0.25">
      <c r="A20" s="28">
        <v>16</v>
      </c>
      <c r="B20" s="29" t="s">
        <v>87</v>
      </c>
      <c r="C20" s="29" t="s">
        <v>88</v>
      </c>
      <c r="D20" s="29" t="s">
        <v>19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0" t="s">
        <v>129</v>
      </c>
      <c r="X20" s="31"/>
      <c r="Y20" s="32"/>
    </row>
    <row r="21" spans="1:25" ht="19.5" customHeight="1" x14ac:dyDescent="0.25">
      <c r="A21" s="28">
        <v>17</v>
      </c>
      <c r="B21" s="29" t="s">
        <v>92</v>
      </c>
      <c r="C21" s="29" t="s">
        <v>88</v>
      </c>
      <c r="D21" s="29" t="s">
        <v>79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 t="s">
        <v>129</v>
      </c>
      <c r="W21" s="31"/>
      <c r="X21" s="31"/>
      <c r="Y21" s="32"/>
    </row>
    <row r="22" spans="1:25" ht="19.5" customHeight="1" x14ac:dyDescent="0.25">
      <c r="A22" s="28">
        <v>18</v>
      </c>
      <c r="B22" s="29" t="s">
        <v>93</v>
      </c>
      <c r="C22" s="29" t="s">
        <v>88</v>
      </c>
      <c r="D22" s="29" t="s">
        <v>96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0" t="s">
        <v>129</v>
      </c>
      <c r="Y22" s="31"/>
    </row>
    <row r="23" spans="1:25" ht="19.5" customHeight="1" x14ac:dyDescent="0.25">
      <c r="A23" s="2" t="s">
        <v>131</v>
      </c>
      <c r="B23" s="2"/>
      <c r="C23" s="2"/>
      <c r="D23" s="2"/>
      <c r="E23" s="27">
        <v>1</v>
      </c>
      <c r="F23" s="27">
        <v>1</v>
      </c>
      <c r="G23" s="27">
        <v>1</v>
      </c>
      <c r="H23" s="27">
        <v>2</v>
      </c>
      <c r="I23" s="27">
        <v>1</v>
      </c>
      <c r="J23" s="27">
        <v>1</v>
      </c>
      <c r="K23" s="27">
        <v>2</v>
      </c>
      <c r="L23" s="27">
        <v>1</v>
      </c>
      <c r="M23" s="27">
        <v>2</v>
      </c>
      <c r="N23" s="27">
        <v>1</v>
      </c>
      <c r="O23" s="27">
        <v>1</v>
      </c>
      <c r="P23" s="27">
        <v>1</v>
      </c>
      <c r="Q23" s="27">
        <v>2</v>
      </c>
      <c r="R23" s="27">
        <v>1</v>
      </c>
      <c r="S23" s="27">
        <v>2</v>
      </c>
      <c r="T23" s="27">
        <v>2</v>
      </c>
      <c r="U23" s="27">
        <v>2</v>
      </c>
      <c r="V23" s="27">
        <v>3</v>
      </c>
      <c r="W23" s="27">
        <v>3</v>
      </c>
      <c r="X23" s="27">
        <v>3</v>
      </c>
      <c r="Y23" s="27">
        <v>1</v>
      </c>
    </row>
    <row r="25" spans="1:25" ht="15" customHeight="1" x14ac:dyDescent="0.25">
      <c r="A25" s="9" t="s">
        <v>99</v>
      </c>
      <c r="B25" s="9"/>
      <c r="C25" s="9"/>
      <c r="D25" s="9"/>
    </row>
    <row r="26" spans="1:25" ht="18" customHeight="1" x14ac:dyDescent="0.25">
      <c r="A26" s="31"/>
      <c r="B26" s="7" t="s">
        <v>132</v>
      </c>
      <c r="C26" s="7"/>
      <c r="D26" s="7"/>
    </row>
    <row r="27" spans="1:25" ht="18" customHeight="1" x14ac:dyDescent="0.25">
      <c r="A27" s="36"/>
      <c r="B27" s="7" t="s">
        <v>133</v>
      </c>
      <c r="C27" s="7"/>
      <c r="D27" s="7"/>
    </row>
    <row r="28" spans="1:25" ht="18" customHeight="1" x14ac:dyDescent="0.25">
      <c r="A28" s="43"/>
      <c r="B28" s="7" t="s">
        <v>134</v>
      </c>
      <c r="C28" s="7"/>
      <c r="D28" s="7"/>
    </row>
    <row r="29" spans="1:25" ht="15" customHeight="1" x14ac:dyDescent="0.25">
      <c r="A29" s="1" t="s">
        <v>135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</sheetData>
  <mergeCells count="11">
    <mergeCell ref="A29:Y29"/>
    <mergeCell ref="A23:D23"/>
    <mergeCell ref="A25:D25"/>
    <mergeCell ref="B26:D26"/>
    <mergeCell ref="B27:D27"/>
    <mergeCell ref="B28:D28"/>
    <mergeCell ref="A1:Y1"/>
    <mergeCell ref="A2:Y2"/>
    <mergeCell ref="E3:K3"/>
    <mergeCell ref="L3:W3"/>
    <mergeCell ref="X3:Y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abSelected="1" zoomScaleNormal="100" workbookViewId="0">
      <selection activeCell="N25" sqref="N25"/>
    </sheetView>
  </sheetViews>
  <sheetFormatPr baseColWidth="10" defaultColWidth="8.7109375" defaultRowHeight="15" x14ac:dyDescent="0.25"/>
  <cols>
    <col min="1" max="1" width="3" bestFit="1" customWidth="1"/>
    <col min="2" max="2" width="20" bestFit="1" customWidth="1"/>
    <col min="3" max="3" width="12.7109375" bestFit="1" customWidth="1"/>
    <col min="4" max="4" width="13.7109375" bestFit="1" customWidth="1"/>
    <col min="5" max="5" width="12.140625" bestFit="1" customWidth="1"/>
    <col min="6" max="6" width="10.140625" bestFit="1" customWidth="1"/>
    <col min="7" max="7" width="6.140625" bestFit="1" customWidth="1"/>
    <col min="8" max="8" width="12.140625" bestFit="1" customWidth="1"/>
  </cols>
  <sheetData>
    <row r="1" spans="1:8" ht="16.5" x14ac:dyDescent="0.25">
      <c r="A1" s="5" t="s">
        <v>136</v>
      </c>
      <c r="B1" s="5"/>
      <c r="C1" s="5"/>
      <c r="D1" s="5"/>
      <c r="E1" s="5"/>
      <c r="F1" s="5"/>
      <c r="G1" s="5"/>
      <c r="H1" s="5"/>
    </row>
    <row r="2" spans="1:8" x14ac:dyDescent="0.25">
      <c r="A2" s="11" t="s">
        <v>137</v>
      </c>
      <c r="B2" s="11"/>
      <c r="C2" s="11"/>
      <c r="D2" s="11"/>
      <c r="E2" s="11"/>
      <c r="F2" s="11"/>
      <c r="G2" s="11"/>
      <c r="H2" s="11"/>
    </row>
    <row r="3" spans="1:8" x14ac:dyDescent="0.25">
      <c r="A3" s="13" t="s">
        <v>3</v>
      </c>
      <c r="B3" s="13" t="s">
        <v>138</v>
      </c>
      <c r="C3" s="13" t="s">
        <v>139</v>
      </c>
      <c r="D3" s="13" t="s">
        <v>140</v>
      </c>
      <c r="E3" s="13" t="s">
        <v>141</v>
      </c>
      <c r="F3" s="13" t="s">
        <v>142</v>
      </c>
      <c r="G3" s="13" t="s">
        <v>9</v>
      </c>
      <c r="H3" s="13" t="s">
        <v>143</v>
      </c>
    </row>
    <row r="4" spans="1:8" x14ac:dyDescent="0.25">
      <c r="A4" s="44">
        <v>1</v>
      </c>
      <c r="B4" s="45" t="s">
        <v>96</v>
      </c>
      <c r="C4" s="45" t="s">
        <v>144</v>
      </c>
      <c r="D4" s="45" t="s">
        <v>145</v>
      </c>
      <c r="E4" s="45" t="s">
        <v>94</v>
      </c>
      <c r="F4" s="44" t="s">
        <v>95</v>
      </c>
      <c r="G4" s="44">
        <v>168</v>
      </c>
      <c r="H4" s="44" t="s">
        <v>146</v>
      </c>
    </row>
    <row r="5" spans="1:8" x14ac:dyDescent="0.25">
      <c r="A5" s="46">
        <v>2</v>
      </c>
      <c r="B5" s="47" t="s">
        <v>19</v>
      </c>
      <c r="C5" s="47" t="s">
        <v>16</v>
      </c>
      <c r="D5" s="47" t="s">
        <v>147</v>
      </c>
      <c r="E5" s="47" t="s">
        <v>17</v>
      </c>
      <c r="F5" s="46" t="s">
        <v>90</v>
      </c>
      <c r="G5" s="46">
        <v>1008</v>
      </c>
      <c r="H5" s="46" t="s">
        <v>148</v>
      </c>
    </row>
    <row r="6" spans="1:8" x14ac:dyDescent="0.25">
      <c r="A6" s="44">
        <v>3</v>
      </c>
      <c r="B6" s="45" t="s">
        <v>28</v>
      </c>
      <c r="C6" s="45" t="s">
        <v>25</v>
      </c>
      <c r="D6" s="45" t="s">
        <v>149</v>
      </c>
      <c r="E6" s="45" t="s">
        <v>26</v>
      </c>
      <c r="F6" s="44" t="s">
        <v>27</v>
      </c>
      <c r="G6" s="44">
        <v>504</v>
      </c>
      <c r="H6" s="44" t="s">
        <v>150</v>
      </c>
    </row>
    <row r="7" spans="1:8" x14ac:dyDescent="0.25">
      <c r="A7" s="46">
        <v>4</v>
      </c>
      <c r="B7" s="47" t="s">
        <v>33</v>
      </c>
      <c r="C7" s="47" t="s">
        <v>25</v>
      </c>
      <c r="D7" s="47" t="s">
        <v>151</v>
      </c>
      <c r="E7" s="47" t="s">
        <v>26</v>
      </c>
      <c r="F7" s="46" t="s">
        <v>32</v>
      </c>
      <c r="G7" s="46">
        <v>168</v>
      </c>
      <c r="H7" s="46" t="s">
        <v>152</v>
      </c>
    </row>
    <row r="8" spans="1:8" x14ac:dyDescent="0.25">
      <c r="A8" s="44">
        <v>5</v>
      </c>
      <c r="B8" s="45" t="s">
        <v>38</v>
      </c>
      <c r="C8" s="45" t="s">
        <v>25</v>
      </c>
      <c r="D8" s="45" t="s">
        <v>153</v>
      </c>
      <c r="E8" s="45" t="s">
        <v>36</v>
      </c>
      <c r="F8" s="44" t="s">
        <v>37</v>
      </c>
      <c r="G8" s="44">
        <v>336</v>
      </c>
      <c r="H8" s="44" t="s">
        <v>154</v>
      </c>
    </row>
    <row r="9" spans="1:8" x14ac:dyDescent="0.25">
      <c r="A9" s="46">
        <v>6</v>
      </c>
      <c r="B9" s="47" t="s">
        <v>52</v>
      </c>
      <c r="C9" s="47" t="s">
        <v>41</v>
      </c>
      <c r="D9" s="47" t="s">
        <v>155</v>
      </c>
      <c r="E9" s="47" t="s">
        <v>36</v>
      </c>
      <c r="F9" s="46" t="s">
        <v>73</v>
      </c>
      <c r="G9" s="46">
        <v>1680</v>
      </c>
      <c r="H9" s="46" t="s">
        <v>156</v>
      </c>
    </row>
    <row r="10" spans="1:8" x14ac:dyDescent="0.25">
      <c r="A10" s="44">
        <v>7</v>
      </c>
      <c r="B10" s="45" t="s">
        <v>157</v>
      </c>
      <c r="C10" s="45" t="s">
        <v>41</v>
      </c>
      <c r="D10" s="45" t="s">
        <v>158</v>
      </c>
      <c r="E10" s="45" t="s">
        <v>36</v>
      </c>
      <c r="F10" s="44" t="s">
        <v>57</v>
      </c>
      <c r="G10" s="44">
        <v>1176</v>
      </c>
      <c r="H10" s="44" t="s">
        <v>159</v>
      </c>
    </row>
    <row r="11" spans="1:8" x14ac:dyDescent="0.25">
      <c r="A11" s="46">
        <v>8</v>
      </c>
      <c r="B11" s="47" t="s">
        <v>49</v>
      </c>
      <c r="C11" s="47" t="s">
        <v>41</v>
      </c>
      <c r="D11" s="47" t="s">
        <v>160</v>
      </c>
      <c r="E11" s="47" t="s">
        <v>47</v>
      </c>
      <c r="F11" s="46" t="s">
        <v>48</v>
      </c>
      <c r="G11" s="46">
        <v>672</v>
      </c>
      <c r="H11" s="46" t="s">
        <v>161</v>
      </c>
    </row>
    <row r="12" spans="1:8" x14ac:dyDescent="0.25">
      <c r="A12" s="44">
        <v>9</v>
      </c>
      <c r="B12" s="45" t="s">
        <v>61</v>
      </c>
      <c r="C12" s="45" t="s">
        <v>162</v>
      </c>
      <c r="D12" s="45" t="s">
        <v>163</v>
      </c>
      <c r="E12" s="45" t="s">
        <v>56</v>
      </c>
      <c r="F12" s="44" t="s">
        <v>69</v>
      </c>
      <c r="G12" s="44">
        <v>504</v>
      </c>
      <c r="H12" s="44" t="s">
        <v>164</v>
      </c>
    </row>
    <row r="13" spans="1:8" x14ac:dyDescent="0.25">
      <c r="A13" s="46">
        <v>10</v>
      </c>
      <c r="B13" s="47" t="s">
        <v>79</v>
      </c>
      <c r="C13" s="47" t="s">
        <v>165</v>
      </c>
      <c r="D13" s="47" t="s">
        <v>166</v>
      </c>
      <c r="E13" s="47" t="s">
        <v>77</v>
      </c>
      <c r="F13" s="46" t="s">
        <v>90</v>
      </c>
      <c r="G13" s="46">
        <v>504</v>
      </c>
      <c r="H13" s="46" t="s">
        <v>167</v>
      </c>
    </row>
    <row r="14" spans="1:8" x14ac:dyDescent="0.25">
      <c r="A14" s="9" t="s">
        <v>168</v>
      </c>
      <c r="B14" s="9"/>
      <c r="C14" s="9"/>
      <c r="D14" s="9"/>
      <c r="E14" s="9"/>
      <c r="F14" s="9"/>
      <c r="G14" s="25">
        <f>SUM(G4:G13)</f>
        <v>6720</v>
      </c>
      <c r="H14" s="25" t="s">
        <v>169</v>
      </c>
    </row>
  </sheetData>
  <mergeCells count="3">
    <mergeCell ref="A1:H1"/>
    <mergeCell ref="A2:H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Planificación</vt:lpstr>
      <vt:lpstr>Gantt</vt:lpstr>
      <vt:lpstr>Recursos Humanos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THINKPAD P1 GEN 3</cp:lastModifiedBy>
  <cp:revision>0</cp:revision>
  <dcterms:created xsi:type="dcterms:W3CDTF">2026-06-02T12:12:46Z</dcterms:created>
  <dcterms:modified xsi:type="dcterms:W3CDTF">2026-06-02T17:06:07Z</dcterms:modified>
  <dc:language>en-US</dc:language>
</cp:coreProperties>
</file>